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Lab" sheetId="1" state="visible" r:id="rId1"/>
    <sheet xmlns:r="http://schemas.openxmlformats.org/officeDocument/2006/relationships" name="Validation Suite" sheetId="2" state="visible" r:id="rId2"/>
    <sheet xmlns:r="http://schemas.openxmlformats.org/officeDocument/2006/relationships" name="Governance" sheetId="3" state="visible" r:id="rId3"/>
    <sheet xmlns:r="http://schemas.openxmlformats.org/officeDocument/2006/relationships" name="Portfolio Alloc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Calibri"/>
      <b val="1"/>
      <color rgb="FFE6EDF3"/>
      <sz val="18"/>
    </font>
    <font>
      <b val="1"/>
      <color rgb="FF8B95A7"/>
      <sz val="11"/>
    </font>
    <font>
      <b val="1"/>
      <color rgb="FF8B95A7"/>
      <sz val="10"/>
    </font>
    <font>
      <color rgb="FF8B95A7"/>
      <sz val="10"/>
    </font>
    <font>
      <b val="1"/>
      <color rgb="FF26D07C"/>
      <sz val="11"/>
    </font>
    <font>
      <b val="1"/>
      <color rgb="FF000000"/>
    </font>
    <font>
      <b val="1"/>
      <color rgb="FF8B95A7"/>
      <sz val="9"/>
    </font>
    <font>
      <b val="1"/>
      <color rgb="FFE6EDF3"/>
      <sz val="10"/>
    </font>
    <font>
      <b val="1"/>
      <color rgb="FF26D07C"/>
    </font>
    <font>
      <b val="1"/>
      <color rgb="FF8B95A7"/>
    </font>
    <font>
      <b val="1"/>
      <color rgb="FFF5B740"/>
    </font>
    <font>
      <color rgb="FF8B95A7"/>
    </font>
    <font>
      <b val="1"/>
      <color rgb="008B95A7"/>
      <sz val="10"/>
    </font>
    <font>
      <b val="1"/>
      <color rgb="008B95A7"/>
      <sz val="9"/>
    </font>
  </fonts>
  <fills count="7">
    <fill>
      <patternFill/>
    </fill>
    <fill>
      <patternFill patternType="gray125"/>
    </fill>
    <fill>
      <patternFill patternType="solid">
        <fgColor rgb="FF161B22"/>
        <bgColor rgb="FF161B22"/>
      </patternFill>
    </fill>
    <fill>
      <patternFill patternType="solid">
        <fgColor rgb="FF1C2230"/>
        <bgColor rgb="FF1C2230"/>
      </patternFill>
    </fill>
    <fill>
      <patternFill patternType="solid">
        <fgColor rgb="FF26D07C"/>
        <bgColor rgb="FF26D07C"/>
      </patternFill>
    </fill>
    <fill>
      <patternFill patternType="solid">
        <fgColor rgb="FFF5B740"/>
        <bgColor rgb="FFF5B740"/>
      </patternFill>
    </fill>
    <fill>
      <patternFill patternType="solid">
        <fgColor rgb="FF4F8CFF"/>
        <bgColor rgb="FF4F8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2" fontId="0" fillId="0" borderId="0" pivotButton="0" quotePrefix="0" xfId="0"/>
    <xf numFmtId="0" fontId="4" fillId="0" borderId="0" pivotButton="0" quotePrefix="0" xfId="0"/>
    <xf numFmtId="2" fontId="5" fillId="0" borderId="0" pivotButton="0" quotePrefix="0" xfId="0"/>
    <xf numFmtId="0" fontId="1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3" fillId="0" borderId="0" pivotButton="0" quotePrefix="0" xfId="0"/>
    <xf numFmtId="0" fontId="7" fillId="3" borderId="0" pivotButton="0" quotePrefix="0" xfId="0"/>
    <xf numFmtId="0" fontId="8" fillId="6" borderId="0" applyAlignment="1" pivotButton="0" quotePrefix="0" xfId="0">
      <alignment horizontal="center"/>
    </xf>
    <xf numFmtId="0" fontId="9" fillId="3" borderId="0" pivotButton="0" quotePrefix="0" xfId="0"/>
    <xf numFmtId="0" fontId="9" fillId="0" borderId="0" pivotButton="0" quotePrefix="0" xfId="0"/>
    <xf numFmtId="0" fontId="10" fillId="3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11" fillId="0" borderId="0" pivotButton="0" quotePrefix="0" xfId="0"/>
    <xf numFmtId="2" fontId="0" fillId="6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 vs Buy &amp; Hold</a:t>
            </a:r>
          </a:p>
        </rich>
      </tx>
    </title>
    <plotArea>
      <lineChart>
        <grouping val="standard"/>
        <ser>
          <idx val="0"/>
          <order val="0"/>
          <tx>
            <strRef>
              <f>'Backtest Lab'!L1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'Backtest Lab'!$L$2:$L$51</f>
            </numRef>
          </val>
        </ser>
        <ser>
          <idx val="1"/>
          <order val="1"/>
          <tx>
            <strRef>
              <f>'Backtest Lab'!M1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'Backtest Lab'!$M$2:$M$51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/ Loss / Timeout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'Backtest Lab'!K55</f>
            </strRef>
          </tx>
          <spPr>
            <a:ln xmlns:a="http://schemas.openxmlformats.org/drawingml/2006/main">
              <a:prstDash val="solid"/>
            </a:ln>
          </spPr>
          <val>
            <numRef>
              <f>'Backtest Lab'!$K$56:$K$58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Permutation Test Results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'Validation Suite'!J1</f>
            </strRef>
          </tx>
          <spPr>
            <a:ln xmlns:a="http://schemas.openxmlformats.org/drawingml/2006/main">
              <a:prstDash val="solid"/>
            </a:ln>
          </spPr>
          <val>
            <numRef>
              <f>'Validation Suite'!$J$2:$J$101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Allocation by Weight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'Portfolio Allocator'!$I$4:$I$6</f>
            </numRef>
          </cat>
          <val>
            <numRef>
              <f>'Portfolio Allocator'!$J$4:$J$6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Risk–Return Map (Efficient Frontier)</a:t>
            </a:r>
          </a:p>
        </rich>
      </tx>
    </title>
    <plotArea>
      <scatterChart>
        <ser>
          <idx val="0"/>
          <order val="0"/>
          <tx>
            <strRef>
              <f>'Portfolio Allocator'!K15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(Max DD 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(CAGR 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8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20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" t="inlineStr">
        <is>
          <t>BACKTEST LAB</t>
        </is>
      </c>
      <c r="K1" s="21" t="inlineStr">
        <is>
          <t>EQUITY CURVE DATA</t>
        </is>
      </c>
    </row>
    <row r="2">
      <c r="K2" s="22" t="inlineStr">
        <is>
          <t>Period</t>
        </is>
      </c>
      <c r="L2" s="22" t="inlineStr">
        <is>
          <t>Cumulative R</t>
        </is>
      </c>
      <c r="M2" s="22" t="inlineStr">
        <is>
          <t>Buy &amp; Hold</t>
        </is>
      </c>
    </row>
    <row r="3">
      <c r="A3" t="inlineStr">
        <is>
          <t>Strategy:</t>
        </is>
      </c>
      <c r="B3" t="inlineStr">
        <is>
          <t>Prev IB Order/Breaker Block</t>
        </is>
      </c>
      <c r="K3" t="n">
        <v>1</v>
      </c>
      <c r="L3" t="n">
        <v>1.557707193831535</v>
      </c>
      <c r="M3" t="n">
        <v>0.9906252688805667</v>
      </c>
    </row>
    <row r="4">
      <c r="K4" t="n">
        <v>2</v>
      </c>
      <c r="L4" t="n">
        <v>1.657824467308012</v>
      </c>
      <c r="M4" t="n">
        <v>0.9862469711291537</v>
      </c>
    </row>
    <row r="5">
      <c r="A5" s="2" t="inlineStr">
        <is>
          <t>RR SUMMARY STATISTICS</t>
        </is>
      </c>
      <c r="K5" t="n">
        <v>3</v>
      </c>
      <c r="L5" t="n">
        <v>3.603709323964062</v>
      </c>
      <c r="M5" t="n">
        <v>0.9930693219137496</v>
      </c>
    </row>
    <row r="6">
      <c r="A6" s="3" t="inlineStr">
        <is>
          <t>RR</t>
        </is>
      </c>
      <c r="B6" s="3" t="inlineStr">
        <is>
          <t>Trades</t>
        </is>
      </c>
      <c r="C6" s="3" t="inlineStr">
        <is>
          <t>Wins</t>
        </is>
      </c>
      <c r="D6" s="3" t="inlineStr">
        <is>
          <t>Losses</t>
        </is>
      </c>
      <c r="E6" s="3" t="inlineStr">
        <is>
          <t>Win %</t>
        </is>
      </c>
      <c r="F6" s="3" t="inlineStr">
        <is>
          <t>Profit Factor</t>
        </is>
      </c>
      <c r="G6" s="3" t="inlineStr">
        <is>
          <t>Expectancy (R)</t>
        </is>
      </c>
      <c r="H6" s="3" t="inlineStr">
        <is>
          <t>Total R</t>
        </is>
      </c>
      <c r="I6" s="3" t="inlineStr">
        <is>
          <t>Max DD (R)</t>
        </is>
      </c>
      <c r="K6" t="n">
        <v>4</v>
      </c>
      <c r="L6" t="n">
        <v>6.172427594783443</v>
      </c>
      <c r="M6" t="n">
        <v>0.9852970358837939</v>
      </c>
    </row>
    <row r="7">
      <c r="A7" t="n">
        <v>1</v>
      </c>
      <c r="B7" s="4">
        <f>COUNTIFS(TradeLog!$C:$C,"Win")+COUNTIFS(TradeLog!$C:$C,"Loss")</f>
        <v/>
      </c>
      <c r="C7" s="4">
        <f>COUNTIFS(TradeLog!$C:$C,"Win")</f>
        <v/>
      </c>
      <c r="D7" s="4">
        <f>COUNTIFS(TradeLog!$C:$C,"Loss")</f>
        <v/>
      </c>
      <c r="E7" s="4">
        <f>IF(B7=0,0,C7/B7)</f>
        <v/>
      </c>
      <c r="F7" s="4">
        <f>IF(D7=0,0,(C7*3)/(D7*1))</f>
        <v/>
      </c>
      <c r="G7" s="4">
        <f>0.28</f>
        <v/>
      </c>
      <c r="H7" s="4">
        <f>B7*G7</f>
        <v/>
      </c>
      <c r="I7" s="4">
        <f>12.5</f>
        <v/>
      </c>
      <c r="K7" t="n">
        <v>5</v>
      </c>
      <c r="L7" t="n">
        <v>6.860114873524525</v>
      </c>
      <c r="M7" t="n">
        <v>0.9761780433247037</v>
      </c>
    </row>
    <row r="8">
      <c r="A8" t="n">
        <v>1.5</v>
      </c>
      <c r="B8" s="4">
        <f>COUNTIFS(TradeLog!$C:$C,"Win")+COUNTIFS(TradeLog!$C:$C,"Loss")</f>
        <v/>
      </c>
      <c r="C8" s="4">
        <f>COUNTIFS(TradeLog!$C:$C,"Win")</f>
        <v/>
      </c>
      <c r="D8" s="4">
        <f>COUNTIFS(TradeLog!$C:$C,"Loss")</f>
        <v/>
      </c>
      <c r="E8" s="4">
        <f>IF(B8=0,0,C8/B8)</f>
        <v/>
      </c>
      <c r="F8" s="4">
        <f>IF(D8=0,0,(C8*3)/(D8*1))</f>
        <v/>
      </c>
      <c r="G8" s="4">
        <f>0.28</f>
        <v/>
      </c>
      <c r="H8" s="4">
        <f>B8*G8</f>
        <v/>
      </c>
      <c r="I8" s="4">
        <f>12.5</f>
        <v/>
      </c>
      <c r="K8" t="n">
        <v>6</v>
      </c>
      <c r="L8" t="n">
        <v>6.734666772738938</v>
      </c>
      <c r="M8" t="n">
        <v>0.97874918129957</v>
      </c>
    </row>
    <row r="9">
      <c r="A9" t="n">
        <v>2</v>
      </c>
      <c r="B9" s="4">
        <f>COUNTIFS(TradeLog!$C:$C,"Win")+COUNTIFS(TradeLog!$C:$C,"Loss")</f>
        <v/>
      </c>
      <c r="C9" s="4">
        <f>COUNTIFS(TradeLog!$C:$C,"Win")</f>
        <v/>
      </c>
      <c r="D9" s="4">
        <f>COUNTIFS(TradeLog!$C:$C,"Loss")</f>
        <v/>
      </c>
      <c r="E9" s="4">
        <f>IF(B9=0,0,C9/B9)</f>
        <v/>
      </c>
      <c r="F9" s="4">
        <f>IF(D9=0,0,(C9*3)/(D9*1))</f>
        <v/>
      </c>
      <c r="G9" s="4">
        <f>0.28</f>
        <v/>
      </c>
      <c r="H9" s="4">
        <f>B9*G9</f>
        <v/>
      </c>
      <c r="I9" s="4">
        <f>12.5</f>
        <v/>
      </c>
      <c r="K9" t="n">
        <v>7</v>
      </c>
      <c r="L9" t="n">
        <v>5.840810651474393</v>
      </c>
      <c r="M9" t="n">
        <v>0.9738269941821015</v>
      </c>
    </row>
    <row r="10">
      <c r="A10" t="n">
        <v>3</v>
      </c>
      <c r="B10" s="4">
        <f>COUNTIFS(TradeLog!$C:$C,"Win")+COUNTIFS(TradeLog!$C:$C,"Loss")</f>
        <v/>
      </c>
      <c r="C10" s="4">
        <f>COUNTIFS(TradeLog!$C:$C,"Win")</f>
        <v/>
      </c>
      <c r="D10" s="4">
        <f>COUNTIFS(TradeLog!$C:$C,"Loss")</f>
        <v/>
      </c>
      <c r="E10" s="4">
        <f>IF(B10=0,0,C10/B10)</f>
        <v/>
      </c>
      <c r="F10" s="4">
        <f>IF(D10=0,0,(C10*3)/(D10*1))</f>
        <v/>
      </c>
      <c r="G10" s="4">
        <f>0.28</f>
        <v/>
      </c>
      <c r="H10" s="4">
        <f>B10*G10</f>
        <v/>
      </c>
      <c r="I10" s="4">
        <f>12.5</f>
        <v/>
      </c>
      <c r="K10" t="n">
        <v>8</v>
      </c>
      <c r="L10" t="n">
        <v>7.440348402592486</v>
      </c>
      <c r="M10" t="n">
        <v>0.9773556923418047</v>
      </c>
    </row>
    <row r="11">
      <c r="A11" t="n">
        <v>4</v>
      </c>
      <c r="B11" s="4">
        <f>COUNTIFS(TradeLog!$C:$C,"Win")+COUNTIFS(TradeLog!$C:$C,"Loss")</f>
        <v/>
      </c>
      <c r="C11" s="4">
        <f>COUNTIFS(TradeLog!$C:$C,"Win")</f>
        <v/>
      </c>
      <c r="D11" s="4">
        <f>COUNTIFS(TradeLog!$C:$C,"Loss")</f>
        <v/>
      </c>
      <c r="E11" s="4">
        <f>IF(B11=0,0,C11/B11)</f>
        <v/>
      </c>
      <c r="F11" s="4">
        <f>IF(D11=0,0,(C11*3)/(D11*1))</f>
        <v/>
      </c>
      <c r="G11" s="4">
        <f>0.28</f>
        <v/>
      </c>
      <c r="H11" s="4">
        <f>B11*G11</f>
        <v/>
      </c>
      <c r="I11" s="4">
        <f>12.5</f>
        <v/>
      </c>
      <c r="K11" t="n">
        <v>9</v>
      </c>
      <c r="L11" t="n">
        <v>7.322110890755273</v>
      </c>
      <c r="M11" t="n">
        <v>0.9819801896793318</v>
      </c>
    </row>
    <row r="12">
      <c r="K12" t="n">
        <v>10</v>
      </c>
      <c r="L12" t="n">
        <v>9.559832717466579</v>
      </c>
      <c r="M12" t="n">
        <v>0.9723199291140721</v>
      </c>
    </row>
    <row r="13">
      <c r="A13" s="2" t="inlineStr">
        <is>
          <t>EQUITY METRICS</t>
        </is>
      </c>
      <c r="K13" t="n">
        <v>11</v>
      </c>
      <c r="L13" t="n">
        <v>11.78310972479781</v>
      </c>
      <c r="M13" t="n">
        <v>0.9795671009990987</v>
      </c>
    </row>
    <row r="14">
      <c r="A14" s="5" t="inlineStr">
        <is>
          <t>Total Return %</t>
        </is>
      </c>
      <c r="B14" s="6">
        <f>47.2</f>
        <v/>
      </c>
      <c r="K14" t="n">
        <v>12</v>
      </c>
      <c r="L14" t="n">
        <v>12.14411179086978</v>
      </c>
      <c r="M14" t="n">
        <v>0.9735789950614933</v>
      </c>
    </row>
    <row r="15">
      <c r="A15" s="5" t="inlineStr">
        <is>
          <t>CAGR %</t>
        </is>
      </c>
      <c r="B15" s="6">
        <f>22.3</f>
        <v/>
      </c>
      <c r="K15" t="n">
        <v>13</v>
      </c>
      <c r="L15" t="n">
        <v>14.9729640796969</v>
      </c>
      <c r="M15" t="n">
        <v>0.9720357395852265</v>
      </c>
    </row>
    <row r="16">
      <c r="A16" s="5" t="inlineStr">
        <is>
          <t>Sharpe Ratio</t>
        </is>
      </c>
      <c r="B16" s="6">
        <f>1.45</f>
        <v/>
      </c>
      <c r="K16" t="n">
        <v>14</v>
      </c>
      <c r="L16" t="n">
        <v>14.3439474532175</v>
      </c>
      <c r="M16" t="n">
        <v>0.9646656765615073</v>
      </c>
    </row>
    <row r="17">
      <c r="A17" s="5" t="inlineStr">
        <is>
          <t>Max Drawdown %</t>
        </is>
      </c>
      <c r="B17" s="6">
        <f>12.6</f>
        <v/>
      </c>
      <c r="K17" t="n">
        <v>15</v>
      </c>
      <c r="L17" t="n">
        <v>16.73392491860734</v>
      </c>
      <c r="M17" t="n">
        <v>0.9695788643085506</v>
      </c>
    </row>
    <row r="18">
      <c r="A18" s="5" t="inlineStr">
        <is>
          <t>Win Rate %</t>
        </is>
      </c>
      <c r="B18" s="6">
        <f>41.0</f>
        <v/>
      </c>
      <c r="K18" t="n">
        <v>16</v>
      </c>
      <c r="L18" t="n">
        <v>18.96243801170486</v>
      </c>
      <c r="M18" t="n">
        <v>0.977571388590276</v>
      </c>
    </row>
    <row r="19">
      <c r="A19" s="5" t="inlineStr">
        <is>
          <t>Profit Factor</t>
        </is>
      </c>
      <c r="B19" s="6">
        <f>1.62</f>
        <v/>
      </c>
      <c r="K19" t="n">
        <v>17</v>
      </c>
      <c r="L19" t="n">
        <v>20.10735037752366</v>
      </c>
      <c r="M19" t="n">
        <v>0.9915779279206832</v>
      </c>
    </row>
    <row r="20">
      <c r="K20" t="n">
        <v>18</v>
      </c>
      <c r="L20" t="n">
        <v>20.62148788635708</v>
      </c>
      <c r="M20" t="n">
        <v>0.9953469312736247</v>
      </c>
    </row>
    <row r="21">
      <c r="K21" t="n">
        <v>19</v>
      </c>
      <c r="L21" t="n">
        <v>22.93910654336906</v>
      </c>
      <c r="M21" t="n">
        <v>1.000784505397085</v>
      </c>
    </row>
    <row r="22">
      <c r="K22" t="n">
        <v>20</v>
      </c>
      <c r="L22" t="n">
        <v>25.38593414461216</v>
      </c>
      <c r="M22" t="n">
        <v>1.005221787371383</v>
      </c>
    </row>
    <row r="23">
      <c r="K23" t="n">
        <v>21</v>
      </c>
      <c r="L23" t="n">
        <v>27.20422148947186</v>
      </c>
      <c r="M23" t="n">
        <v>0.9963211612187576</v>
      </c>
    </row>
    <row r="24">
      <c r="K24" t="n">
        <v>22</v>
      </c>
      <c r="L24" t="n">
        <v>27.11581459207805</v>
      </c>
      <c r="M24" t="n">
        <v>0.9935660334050396</v>
      </c>
    </row>
    <row r="25">
      <c r="K25" t="n">
        <v>23</v>
      </c>
      <c r="L25" t="n">
        <v>26.43498249977256</v>
      </c>
      <c r="M25" t="n">
        <v>0.9894127010103534</v>
      </c>
    </row>
    <row r="26">
      <c r="K26" t="n">
        <v>24</v>
      </c>
      <c r="L26" t="n">
        <v>25.83898821741147</v>
      </c>
      <c r="M26" t="n">
        <v>0.9863943393368183</v>
      </c>
    </row>
    <row r="27">
      <c r="K27" t="n">
        <v>25</v>
      </c>
      <c r="L27" t="n">
        <v>27.38172599446907</v>
      </c>
      <c r="M27" t="n">
        <v>0.9855271058470503</v>
      </c>
    </row>
    <row r="28">
      <c r="K28" t="n">
        <v>26</v>
      </c>
      <c r="L28" t="n">
        <v>27.8624498629366</v>
      </c>
      <c r="M28" t="n">
        <v>0.9808337062308506</v>
      </c>
    </row>
    <row r="29">
      <c r="K29" t="n">
        <v>27</v>
      </c>
      <c r="L29" t="n">
        <v>27.93036115113306</v>
      </c>
      <c r="M29" t="n">
        <v>0.9939929289366464</v>
      </c>
    </row>
    <row r="30">
      <c r="K30" t="n">
        <v>28</v>
      </c>
      <c r="L30" t="n">
        <v>29.52250269211943</v>
      </c>
      <c r="M30" t="n">
        <v>0.9991897974580064</v>
      </c>
    </row>
    <row r="31">
      <c r="K31" t="n">
        <v>29</v>
      </c>
      <c r="L31" t="n">
        <v>29.20705728491182</v>
      </c>
      <c r="M31" t="n">
        <v>1.007411300922557</v>
      </c>
    </row>
    <row r="32">
      <c r="K32" t="n">
        <v>30</v>
      </c>
      <c r="L32" t="n">
        <v>28.86066725995953</v>
      </c>
      <c r="M32" t="n">
        <v>1.006893880418912</v>
      </c>
    </row>
    <row r="33">
      <c r="K33" t="n">
        <v>31</v>
      </c>
      <c r="L33" t="n">
        <v>31.81876066250592</v>
      </c>
      <c r="M33" t="n">
        <v>1.012935237656389</v>
      </c>
    </row>
    <row r="34">
      <c r="K34" t="n">
        <v>32</v>
      </c>
      <c r="L34" t="n">
        <v>33.0465596376045</v>
      </c>
      <c r="M34" t="n">
        <v>1.02014263275556</v>
      </c>
    </row>
    <row r="35">
      <c r="K35" t="n">
        <v>33</v>
      </c>
      <c r="L35" t="n">
        <v>35.41796731836374</v>
      </c>
      <c r="M35" t="n">
        <v>1.029731971247576</v>
      </c>
    </row>
    <row r="36">
      <c r="K36" t="n">
        <v>34</v>
      </c>
      <c r="L36" t="n">
        <v>35.33415960622016</v>
      </c>
      <c r="M36" t="n">
        <v>1.020261017720921</v>
      </c>
    </row>
    <row r="37">
      <c r="K37" t="n">
        <v>35</v>
      </c>
      <c r="L37" t="n">
        <v>35.59597179845649</v>
      </c>
      <c r="M37" t="n">
        <v>1.016887547008923</v>
      </c>
    </row>
    <row r="38">
      <c r="K38" t="n">
        <v>36</v>
      </c>
      <c r="L38" t="n">
        <v>35.43990317280179</v>
      </c>
      <c r="M38" t="n">
        <v>1.03068950020036</v>
      </c>
    </row>
    <row r="39">
      <c r="K39" t="n">
        <v>37</v>
      </c>
      <c r="L39" t="n">
        <v>37.94537367869247</v>
      </c>
      <c r="M39" t="n">
        <v>1.028490984890464</v>
      </c>
    </row>
    <row r="40">
      <c r="K40" t="n">
        <v>38</v>
      </c>
      <c r="L40" t="n">
        <v>39.56712833987199</v>
      </c>
      <c r="M40" t="n">
        <v>1.028378671130958</v>
      </c>
    </row>
    <row r="41">
      <c r="K41" t="n">
        <v>39</v>
      </c>
      <c r="L41" t="n">
        <v>42.22531869883417</v>
      </c>
      <c r="M41" t="n">
        <v>1.029891720879894</v>
      </c>
    </row>
    <row r="42">
      <c r="K42" t="n">
        <v>40</v>
      </c>
      <c r="L42" t="n">
        <v>42.28483936482638</v>
      </c>
      <c r="M42" t="n">
        <v>1.025942794378977</v>
      </c>
    </row>
    <row r="43">
      <c r="K43" t="n">
        <v>41</v>
      </c>
      <c r="L43" t="n">
        <v>43.53031190147898</v>
      </c>
      <c r="M43" t="n">
        <v>1.022422312936379</v>
      </c>
    </row>
    <row r="44">
      <c r="K44" t="n">
        <v>42</v>
      </c>
      <c r="L44" t="n">
        <v>44.86865586237315</v>
      </c>
      <c r="M44" t="n">
        <v>1.035146943538516</v>
      </c>
    </row>
    <row r="45">
      <c r="K45" t="n">
        <v>43</v>
      </c>
      <c r="L45" t="n">
        <v>45.46625788293473</v>
      </c>
      <c r="M45" t="n">
        <v>1.030471204440536</v>
      </c>
    </row>
    <row r="46">
      <c r="K46" t="n">
        <v>44</v>
      </c>
      <c r="L46" t="n">
        <v>48.45640830891517</v>
      </c>
      <c r="M46" t="n">
        <v>1.033292796734604</v>
      </c>
    </row>
    <row r="47">
      <c r="K47" t="n">
        <v>45</v>
      </c>
      <c r="L47" t="n">
        <v>47.82004595761035</v>
      </c>
      <c r="M47" t="n">
        <v>1.024176994050623</v>
      </c>
    </row>
    <row r="48">
      <c r="K48" t="n">
        <v>46</v>
      </c>
      <c r="L48" t="n">
        <v>47.25864247901298</v>
      </c>
      <c r="M48" t="n">
        <v>1.030000619133128</v>
      </c>
    </row>
    <row r="49">
      <c r="K49" t="n">
        <v>47</v>
      </c>
      <c r="L49" t="n">
        <v>49.42695993646484</v>
      </c>
      <c r="M49" t="n">
        <v>1.030571238621219</v>
      </c>
    </row>
    <row r="50">
      <c r="K50" t="n">
        <v>48</v>
      </c>
      <c r="L50" t="n">
        <v>48.68107076107267</v>
      </c>
      <c r="M50" t="n">
        <v>1.030097672754426</v>
      </c>
    </row>
    <row r="51">
      <c r="K51" t="n">
        <v>49</v>
      </c>
      <c r="L51" t="n">
        <v>51.66555628203305</v>
      </c>
      <c r="M51" t="n">
        <v>1.033422682414572</v>
      </c>
    </row>
    <row r="52">
      <c r="K52" t="n">
        <v>50</v>
      </c>
      <c r="L52" t="n">
        <v>54.54986979248753</v>
      </c>
      <c r="M52" t="n">
        <v>1.045327187311706</v>
      </c>
    </row>
    <row r="55">
      <c r="K55" t="inlineStr">
        <is>
          <t>Outcome</t>
        </is>
      </c>
      <c r="L55" t="inlineStr">
        <is>
          <t>Count</t>
        </is>
      </c>
    </row>
    <row r="56">
      <c r="K56" t="inlineStr">
        <is>
          <t>Wins</t>
        </is>
      </c>
      <c r="L56" t="n">
        <v>170</v>
      </c>
    </row>
    <row r="57">
      <c r="K57" t="inlineStr">
        <is>
          <t>Losses</t>
        </is>
      </c>
      <c r="L57" t="n">
        <v>190</v>
      </c>
    </row>
    <row r="58">
      <c r="K58" t="inlineStr">
        <is>
          <t>Timeouts</t>
        </is>
      </c>
      <c r="L58" t="n">
        <v>52</v>
      </c>
    </row>
  </sheetData>
  <mergeCells count="2">
    <mergeCell ref="A5:H5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VALIDATION SUITE</t>
        </is>
      </c>
    </row>
    <row r="2">
      <c r="J2" t="inlineStr">
        <is>
          <t>Permutation Distribution</t>
        </is>
      </c>
    </row>
    <row r="3">
      <c r="A3" s="2" t="inlineStr">
        <is>
          <t>VALIDATION REPORT CARD</t>
        </is>
      </c>
      <c r="J3" t="n">
        <v>-0.48</v>
      </c>
    </row>
    <row r="4">
      <c r="A4" t="inlineStr">
        <is>
          <t>Permutation p-value</t>
        </is>
      </c>
      <c r="B4">
        <f>0.032</f>
        <v/>
      </c>
      <c r="C4" s="8" t="inlineStr">
        <is>
          <t>PASS</t>
        </is>
      </c>
      <c r="J4" t="n">
        <v>-0.46</v>
      </c>
    </row>
    <row r="5">
      <c r="A5" t="inlineStr">
        <is>
          <t>Probabilistic Sharpe Ratio (PSR)</t>
        </is>
      </c>
      <c r="B5">
        <f>0.87</f>
        <v/>
      </c>
      <c r="C5" s="8" t="inlineStr">
        <is>
          <t>PASS</t>
        </is>
      </c>
      <c r="J5" t="n">
        <v>-0.4400000000000001</v>
      </c>
    </row>
    <row r="6">
      <c r="A6" t="inlineStr">
        <is>
          <t>Bootstrap CI Width (Exp)</t>
        </is>
      </c>
      <c r="B6">
        <f>±0.18</f>
        <v/>
      </c>
      <c r="C6" t="inlineStr">
        <is>
          <t>ACCEPTABLE</t>
        </is>
      </c>
      <c r="J6" t="n">
        <v>-0.42</v>
      </c>
    </row>
    <row r="7">
      <c r="A7" t="inlineStr">
        <is>
          <t>Robustness (0 vs 2-tick buffer)</t>
        </is>
      </c>
      <c r="B7">
        <f>0.94x</f>
        <v/>
      </c>
      <c r="C7" s="9" t="inlineStr">
        <is>
          <t>WARNING</t>
        </is>
      </c>
      <c r="J7" t="n">
        <v>-0.4</v>
      </c>
    </row>
    <row r="8">
      <c r="J8" t="n">
        <v>-0.38</v>
      </c>
    </row>
    <row r="9">
      <c r="J9" t="n">
        <v>-0.36</v>
      </c>
    </row>
    <row r="10">
      <c r="A10" s="10" t="inlineStr">
        <is>
          <t>BOOTSTRAP CONFIDENCE INTERVALS (95%)</t>
        </is>
      </c>
      <c r="J10" t="n">
        <v>-0.34</v>
      </c>
    </row>
    <row r="11">
      <c r="A11" s="11" t="inlineStr">
        <is>
          <t>Metric</t>
        </is>
      </c>
      <c r="B11" s="11" t="inlineStr">
        <is>
          <t>Estimate</t>
        </is>
      </c>
      <c r="C11" s="11" t="inlineStr">
        <is>
          <t>95% CI Low</t>
        </is>
      </c>
      <c r="D11" s="11" t="inlineStr">
        <is>
          <t>95% CI High</t>
        </is>
      </c>
      <c r="E11" s="11" t="inlineStr">
        <is>
          <t>Precision</t>
        </is>
      </c>
      <c r="J11" t="n">
        <v>-0.3200000000000001</v>
      </c>
    </row>
    <row r="12">
      <c r="A12" t="inlineStr">
        <is>
          <t>Expectancy (R)</t>
        </is>
      </c>
      <c r="B12" s="4" t="n">
        <v>0.28</v>
      </c>
      <c r="C12" s="4" t="n">
        <v>0.18</v>
      </c>
      <c r="D12" s="4" t="n">
        <v>0.38</v>
      </c>
      <c r="E12" s="4">
        <f>ABS(D12-C12)/B12</f>
        <v/>
      </c>
      <c r="J12" t="n">
        <v>-0.3</v>
      </c>
    </row>
    <row r="13">
      <c r="A13" t="inlineStr">
        <is>
          <t>Win Rate %</t>
        </is>
      </c>
      <c r="B13" s="4" t="n">
        <v>0.41</v>
      </c>
      <c r="C13" s="4" t="n">
        <v>0.35</v>
      </c>
      <c r="D13" s="4" t="n">
        <v>0.47</v>
      </c>
      <c r="E13" s="4">
        <f>ABS(D13-C13)/B13</f>
        <v/>
      </c>
      <c r="J13" t="n">
        <v>-0.28</v>
      </c>
    </row>
    <row r="14">
      <c r="A14" t="inlineStr">
        <is>
          <t>Profit Factor</t>
        </is>
      </c>
      <c r="B14" s="4" t="n">
        <v>1.62</v>
      </c>
      <c r="C14" s="4" t="n">
        <v>1.35</v>
      </c>
      <c r="D14" s="4" t="n">
        <v>1.89</v>
      </c>
      <c r="E14" s="4">
        <f>ABS(D14-C14)/B14</f>
        <v/>
      </c>
      <c r="J14" t="n">
        <v>-0.26</v>
      </c>
    </row>
    <row r="15">
      <c r="A15" t="inlineStr">
        <is>
          <t>Max DD %</t>
        </is>
      </c>
      <c r="B15" s="4" t="n">
        <v>12.6</v>
      </c>
      <c r="C15" s="4" t="n">
        <v>10.2</v>
      </c>
      <c r="D15" s="4" t="n">
        <v>15.8</v>
      </c>
      <c r="E15" s="4">
        <f>ABS(D15-C15)/B15</f>
        <v/>
      </c>
      <c r="J15" t="n">
        <v>-0.24</v>
      </c>
    </row>
    <row r="16">
      <c r="J16" t="n">
        <v>-0.22</v>
      </c>
    </row>
    <row r="17">
      <c r="J17" t="n">
        <v>-0.2000000000000001</v>
      </c>
    </row>
    <row r="18">
      <c r="J18" t="n">
        <v>-0.18</v>
      </c>
    </row>
    <row r="19">
      <c r="J19" t="n">
        <v>-0.16</v>
      </c>
    </row>
    <row r="20">
      <c r="J20" t="n">
        <v>-0.14</v>
      </c>
    </row>
    <row r="21">
      <c r="J21" t="n">
        <v>-0.12</v>
      </c>
    </row>
    <row r="22">
      <c r="J22" t="n">
        <v>-0.09999999999999998</v>
      </c>
    </row>
    <row r="23">
      <c r="J23" t="n">
        <v>-0.07999999999999996</v>
      </c>
    </row>
    <row r="24">
      <c r="J24" t="n">
        <v>-0.06000000000000005</v>
      </c>
    </row>
    <row r="25">
      <c r="J25" t="n">
        <v>-0.04000000000000004</v>
      </c>
    </row>
    <row r="26">
      <c r="J26" t="n">
        <v>-0.02000000000000002</v>
      </c>
    </row>
    <row r="27">
      <c r="J27" t="n">
        <v>0</v>
      </c>
    </row>
    <row r="28">
      <c r="J28" t="n">
        <v>0.02000000000000002</v>
      </c>
    </row>
    <row r="29">
      <c r="J29" t="n">
        <v>0.03999999999999998</v>
      </c>
    </row>
    <row r="30">
      <c r="J30" t="n">
        <v>0.06</v>
      </c>
    </row>
    <row r="31">
      <c r="J31" t="n">
        <v>0.08000000000000002</v>
      </c>
    </row>
    <row r="32">
      <c r="J32" t="n">
        <v>0.09999999999999998</v>
      </c>
    </row>
    <row r="33">
      <c r="J33" t="n">
        <v>0.12</v>
      </c>
    </row>
    <row r="34">
      <c r="J34" t="n">
        <v>0.14</v>
      </c>
    </row>
    <row r="35">
      <c r="J35" t="n">
        <v>0.16</v>
      </c>
    </row>
    <row r="36">
      <c r="J36" t="n">
        <v>0.18</v>
      </c>
    </row>
    <row r="37">
      <c r="J37" t="n">
        <v>0.2</v>
      </c>
    </row>
    <row r="38">
      <c r="J38" t="n">
        <v>0.22</v>
      </c>
    </row>
    <row r="39">
      <c r="J39" t="n">
        <v>0.24</v>
      </c>
    </row>
    <row r="40">
      <c r="J40" t="n">
        <v>0.26</v>
      </c>
    </row>
    <row r="41">
      <c r="J41" t="n">
        <v>0.28</v>
      </c>
    </row>
    <row r="42">
      <c r="J42" t="n">
        <v>0.3</v>
      </c>
    </row>
    <row r="43">
      <c r="J43" t="n">
        <v>0.32</v>
      </c>
    </row>
    <row r="44">
      <c r="J44" t="n">
        <v>0.34</v>
      </c>
    </row>
    <row r="45">
      <c r="J45" t="n">
        <v>0.36</v>
      </c>
    </row>
    <row r="46">
      <c r="J46" t="n">
        <v>0.38</v>
      </c>
    </row>
    <row r="47">
      <c r="J47" t="n">
        <v>0.4</v>
      </c>
    </row>
    <row r="48">
      <c r="J48" t="n">
        <v>0.42</v>
      </c>
    </row>
    <row r="49">
      <c r="J49" t="n">
        <v>0.44</v>
      </c>
    </row>
    <row r="50">
      <c r="J50" t="n">
        <v>0.46</v>
      </c>
    </row>
    <row r="51">
      <c r="J51" t="n">
        <v>0.48</v>
      </c>
    </row>
    <row r="52">
      <c r="J52" t="n">
        <v>0.5</v>
      </c>
    </row>
    <row r="53">
      <c r="J53" t="n">
        <v>0.52</v>
      </c>
    </row>
    <row r="54">
      <c r="J54" t="n">
        <v>0.54</v>
      </c>
    </row>
    <row r="55">
      <c r="J55" t="n">
        <v>0.5600000000000001</v>
      </c>
    </row>
    <row r="56">
      <c r="J56" t="n">
        <v>0.58</v>
      </c>
    </row>
    <row r="57">
      <c r="J57" t="n">
        <v>0.6</v>
      </c>
    </row>
    <row r="58">
      <c r="J58" t="n">
        <v>0.62</v>
      </c>
    </row>
    <row r="59">
      <c r="J59" t="n">
        <v>0.64</v>
      </c>
    </row>
    <row r="60">
      <c r="J60" t="n">
        <v>0.66</v>
      </c>
    </row>
    <row r="61">
      <c r="J61" t="n">
        <v>0.6799999999999999</v>
      </c>
    </row>
    <row r="62">
      <c r="J62" t="n">
        <v>0.7</v>
      </c>
    </row>
    <row r="63">
      <c r="J63" t="n">
        <v>0.72</v>
      </c>
    </row>
    <row r="64">
      <c r="J64" t="n">
        <v>0.74</v>
      </c>
    </row>
    <row r="65">
      <c r="J65" t="n">
        <v>0.76</v>
      </c>
    </row>
    <row r="66">
      <c r="J66" t="n">
        <v>0.78</v>
      </c>
    </row>
    <row r="67">
      <c r="J67" t="n">
        <v>0.8</v>
      </c>
    </row>
    <row r="68">
      <c r="J68" t="n">
        <v>0.8200000000000001</v>
      </c>
    </row>
    <row r="69">
      <c r="J69" t="n">
        <v>0.8400000000000001</v>
      </c>
    </row>
    <row r="70">
      <c r="J70" t="n">
        <v>0.86</v>
      </c>
    </row>
    <row r="71">
      <c r="J71" t="n">
        <v>0.88</v>
      </c>
    </row>
    <row r="72">
      <c r="J72" t="n">
        <v>0.9</v>
      </c>
    </row>
    <row r="73">
      <c r="J73" t="n">
        <v>0.9199999999999999</v>
      </c>
    </row>
    <row r="74">
      <c r="J74" t="n">
        <v>0.9399999999999999</v>
      </c>
    </row>
    <row r="75">
      <c r="J75" t="n">
        <v>0.96</v>
      </c>
    </row>
    <row r="76">
      <c r="J76" t="n">
        <v>0.98</v>
      </c>
    </row>
    <row r="77">
      <c r="J77" t="n">
        <v>1</v>
      </c>
    </row>
    <row r="78">
      <c r="J78" t="n">
        <v>1.02</v>
      </c>
    </row>
    <row r="79">
      <c r="J79" t="n">
        <v>1.04</v>
      </c>
    </row>
    <row r="80">
      <c r="J80" t="n">
        <v>1.06</v>
      </c>
    </row>
    <row r="81">
      <c r="J81" t="n">
        <v>1.08</v>
      </c>
    </row>
    <row r="82">
      <c r="J82" t="n">
        <v>1.1</v>
      </c>
    </row>
    <row r="83">
      <c r="J83" t="n">
        <v>1.12</v>
      </c>
    </row>
    <row r="84">
      <c r="J84" t="n">
        <v>1.14</v>
      </c>
    </row>
    <row r="85">
      <c r="J85" t="n">
        <v>1.16</v>
      </c>
    </row>
    <row r="86">
      <c r="J86" t="n">
        <v>1.18</v>
      </c>
    </row>
    <row r="87">
      <c r="J87" t="n">
        <v>1.2</v>
      </c>
    </row>
    <row r="88">
      <c r="J88" t="n">
        <v>1.22</v>
      </c>
    </row>
    <row r="89">
      <c r="J89" t="n">
        <v>1.24</v>
      </c>
    </row>
    <row r="90">
      <c r="J90" t="n">
        <v>1.26</v>
      </c>
    </row>
    <row r="91">
      <c r="J91" t="n">
        <v>1.28</v>
      </c>
    </row>
    <row r="92">
      <c r="J92" t="n">
        <v>1.3</v>
      </c>
    </row>
    <row r="93">
      <c r="J93" t="n">
        <v>1.32</v>
      </c>
    </row>
    <row r="94">
      <c r="J94" t="n">
        <v>1.34</v>
      </c>
    </row>
    <row r="95">
      <c r="J95" t="n">
        <v>1.36</v>
      </c>
    </row>
    <row r="96">
      <c r="J96" t="n">
        <v>1.38</v>
      </c>
    </row>
    <row r="97">
      <c r="J97" t="n">
        <v>1.4</v>
      </c>
    </row>
    <row r="98">
      <c r="J98" t="n">
        <v>1.42</v>
      </c>
    </row>
    <row r="99">
      <c r="J99" t="n">
        <v>1.44</v>
      </c>
    </row>
    <row r="100">
      <c r="J100" t="n">
        <v>1.46</v>
      </c>
    </row>
    <row r="101">
      <c r="J101" t="n">
        <v>1.48</v>
      </c>
    </row>
    <row r="102">
      <c r="J102" t="n">
        <v>1.5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GOVERNANCE &amp; LIFECYCLE</t>
        </is>
      </c>
    </row>
    <row r="3">
      <c r="A3" s="2" t="inlineStr">
        <is>
          <t>STRATEGY LIFECYCLE</t>
        </is>
      </c>
    </row>
    <row r="4">
      <c r="A4" s="12" t="inlineStr">
        <is>
          <t>Idea</t>
        </is>
      </c>
      <c r="B4" s="12" t="inlineStr">
        <is>
          <t>Hypothesis</t>
        </is>
      </c>
      <c r="C4" s="12" t="inlineStr">
        <is>
          <t>Validation</t>
        </is>
      </c>
      <c r="D4" s="12" t="inlineStr">
        <is>
          <t>Paper</t>
        </is>
      </c>
      <c r="E4" s="12" t="inlineStr">
        <is>
          <t>Live</t>
        </is>
      </c>
    </row>
    <row r="5">
      <c r="A5" s="13" t="inlineStr">
        <is>
          <t>Current: LIVE</t>
        </is>
      </c>
    </row>
    <row r="7">
      <c r="A7" s="2" t="inlineStr">
        <is>
          <t>PRE-REGISTERED ACCEPTANCE CRITERIA</t>
        </is>
      </c>
    </row>
    <row r="8">
      <c r="A8" t="inlineStr">
        <is>
          <t>Min Expectancy (R)</t>
        </is>
      </c>
      <c r="B8" s="14" t="n">
        <v>0.25</v>
      </c>
    </row>
    <row r="9">
      <c r="A9" t="inlineStr">
        <is>
          <t>Min Sample Size (trades)</t>
        </is>
      </c>
      <c r="B9" s="14" t="n">
        <v>100</v>
      </c>
    </row>
    <row r="10">
      <c r="A10" t="inlineStr">
        <is>
          <t>Max Drawdown (R)</t>
        </is>
      </c>
      <c r="B10" s="14" t="n">
        <v>15</v>
      </c>
    </row>
    <row r="11">
      <c r="A11" t="inlineStr">
        <is>
          <t>Min Profit Factor</t>
        </is>
      </c>
      <c r="B11" s="14" t="n">
        <v>1.4</v>
      </c>
    </row>
    <row r="12">
      <c r="A12" t="inlineStr">
        <is>
          <t>Min PSR</t>
        </is>
      </c>
      <c r="B12" s="14" t="n">
        <v>0.8</v>
      </c>
    </row>
    <row r="14">
      <c r="A14" s="2" t="inlineStr">
        <is>
          <t>DECISION LOG (Audit Trail)</t>
        </is>
      </c>
    </row>
    <row r="15">
      <c r="A15" s="15" t="inlineStr">
        <is>
          <t>Date</t>
        </is>
      </c>
      <c r="B15" s="15" t="inlineStr">
        <is>
          <t>Decision</t>
        </is>
      </c>
      <c r="C15" s="15" t="inlineStr">
        <is>
          <t>Signer</t>
        </is>
      </c>
      <c r="D15" s="15" t="inlineStr">
        <is>
          <t>Rationale</t>
        </is>
      </c>
    </row>
    <row r="16">
      <c r="A16" t="inlineStr">
        <is>
          <t>2026-04-22</t>
        </is>
      </c>
      <c r="B16" s="14" t="inlineStr">
        <is>
          <t>LIVE PROMOTION</t>
        </is>
      </c>
      <c r="C16" t="inlineStr">
        <is>
          <t>R. Perekekeme</t>
        </is>
      </c>
      <c r="D16" t="inlineStr">
        <is>
          <t>Validation passed; 450+ trades; Sharpe 1.45+</t>
        </is>
      </c>
    </row>
    <row r="21">
      <c r="A21" s="2" t="inlineStr">
        <is>
          <t>LIVE TRADE TRACKER</t>
        </is>
      </c>
    </row>
    <row r="22">
      <c r="A22" s="15" t="inlineStr">
        <is>
          <t>Date</t>
        </is>
      </c>
      <c r="B22" s="15" t="inlineStr">
        <is>
          <t>Outcome</t>
        </is>
      </c>
      <c r="C22" s="15" t="inlineStr">
        <is>
          <t>R Value</t>
        </is>
      </c>
      <c r="D22" s="15" t="inlineStr">
        <is>
          <t>Cumulative R</t>
        </is>
      </c>
      <c r="E22" s="15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PORTFOLIO ALLOCATOR</t>
        </is>
      </c>
    </row>
    <row r="3">
      <c r="A3" s="2" t="inlineStr">
        <is>
          <t>STRATEGY ROSTER</t>
        </is>
      </c>
    </row>
    <row r="4">
      <c r="A4" s="15" t="inlineStr">
        <is>
          <t>Strategy</t>
        </is>
      </c>
      <c r="B4" s="15" t="inlineStr">
        <is>
          <t>Status</t>
        </is>
      </c>
      <c r="C4" s="15" t="inlineStr">
        <is>
          <t>CAGR %</t>
        </is>
      </c>
      <c r="D4" s="15" t="inlineStr">
        <is>
          <t>Sharpe</t>
        </is>
      </c>
      <c r="E4" s="15" t="inlineStr">
        <is>
          <t>Max DD %</t>
        </is>
      </c>
      <c r="F4" s="15" t="inlineStr">
        <is>
          <t>Weight %</t>
        </is>
      </c>
      <c r="G4" s="15" t="inlineStr">
        <is>
          <t>Allocation $</t>
        </is>
      </c>
      <c r="I4" t="inlineStr">
        <is>
          <t>ES ORB</t>
        </is>
      </c>
      <c r="J4" t="n">
        <v>40</v>
      </c>
    </row>
    <row r="5">
      <c r="A5" t="inlineStr">
        <is>
          <t>ES 5m ORB</t>
        </is>
      </c>
      <c r="B5" s="14" t="inlineStr">
        <is>
          <t>LIVE</t>
        </is>
      </c>
      <c r="C5" t="n">
        <v>22.3</v>
      </c>
      <c r="D5" t="n">
        <v>1.45</v>
      </c>
      <c r="E5" t="n">
        <v>12.6</v>
      </c>
      <c r="F5" s="16" t="n">
        <v>0.4</v>
      </c>
      <c r="G5" s="17" t="n">
        <v>2000000</v>
      </c>
      <c r="I5" t="inlineStr">
        <is>
          <t>Order Block</t>
        </is>
      </c>
      <c r="J5" t="n">
        <v>30</v>
      </c>
    </row>
    <row r="6">
      <c r="A6" t="inlineStr">
        <is>
          <t>Order Block</t>
        </is>
      </c>
      <c r="B6" s="18" t="inlineStr">
        <is>
          <t>PAPER</t>
        </is>
      </c>
      <c r="C6" t="n">
        <v>18.5</v>
      </c>
      <c r="D6" t="n">
        <v>1.12</v>
      </c>
      <c r="E6" t="n">
        <v>15.2</v>
      </c>
      <c r="F6" s="16" t="n">
        <v>0.3</v>
      </c>
      <c r="G6" s="17" t="n">
        <v>1500000</v>
      </c>
      <c r="I6" t="inlineStr">
        <is>
          <t>Momentum</t>
        </is>
      </c>
      <c r="J6" t="n">
        <v>30</v>
      </c>
    </row>
    <row r="7">
      <c r="A7" t="inlineStr">
        <is>
          <t>Sector Momentum</t>
        </is>
      </c>
      <c r="B7" s="18" t="inlineStr">
        <is>
          <t>HYPOTHESIS</t>
        </is>
      </c>
      <c r="C7" t="n">
        <v>25.1</v>
      </c>
      <c r="D7" t="n">
        <v>1.78</v>
      </c>
      <c r="E7" t="n">
        <v>18.4</v>
      </c>
      <c r="F7" s="16" t="n">
        <v>0.3</v>
      </c>
      <c r="G7" s="17" t="n">
        <v>1500000</v>
      </c>
    </row>
    <row r="9">
      <c r="A9" s="2" t="inlineStr">
        <is>
          <t>CORRELATION MATRIX</t>
        </is>
      </c>
    </row>
    <row r="10">
      <c r="A10" s="15" t="inlineStr"/>
      <c r="B10" s="15" t="inlineStr">
        <is>
          <t>ES ORB</t>
        </is>
      </c>
      <c r="C10" s="15" t="inlineStr">
        <is>
          <t>Order Block</t>
        </is>
      </c>
      <c r="D10" s="15" t="inlineStr">
        <is>
          <t>Momentum</t>
        </is>
      </c>
    </row>
    <row r="11">
      <c r="A11" t="inlineStr">
        <is>
          <t>ES ORB</t>
        </is>
      </c>
      <c r="B11" s="19" t="n">
        <v>1</v>
      </c>
      <c r="C11" s="4" t="n">
        <v>0.45</v>
      </c>
      <c r="D11" s="4" t="n">
        <v>0.12</v>
      </c>
    </row>
    <row r="12">
      <c r="A12" t="inlineStr">
        <is>
          <t>Order Block</t>
        </is>
      </c>
      <c r="B12" s="4" t="n">
        <v>0.45</v>
      </c>
      <c r="C12" s="19" t="n">
        <v>1</v>
      </c>
      <c r="D12" s="4" t="n">
        <v>0.28</v>
      </c>
    </row>
    <row r="13">
      <c r="A13" t="inlineStr">
        <is>
          <t>Momentum</t>
        </is>
      </c>
      <c r="B13" s="4" t="n">
        <v>0.12</v>
      </c>
      <c r="C13" s="4" t="n">
        <v>0.28</v>
      </c>
      <c r="D13" s="19" t="n">
        <v>1</v>
      </c>
    </row>
    <row r="15">
      <c r="A15" s="2" t="inlineStr">
        <is>
          <t>PORTFOLIO SUMMARY</t>
        </is>
      </c>
      <c r="I15" t="inlineStr">
        <is>
          <t>Strategy</t>
        </is>
      </c>
      <c r="J15" t="inlineStr">
        <is>
          <t>Risk %</t>
        </is>
      </c>
      <c r="K15" t="inlineStr">
        <is>
          <t>Return %</t>
        </is>
      </c>
    </row>
    <row r="16">
      <c r="A16" s="20" t="inlineStr">
        <is>
          <t>Portfolio CAGR %</t>
        </is>
      </c>
      <c r="B16" s="6">
        <f>22.0</f>
        <v/>
      </c>
      <c r="I16" t="inlineStr">
        <is>
          <t>ES ORB</t>
        </is>
      </c>
      <c r="J16" t="n">
        <v>12.6</v>
      </c>
      <c r="K16" t="n">
        <v>22.3</v>
      </c>
    </row>
    <row r="17">
      <c r="A17" s="20" t="inlineStr">
        <is>
          <t>Portfolio Sharpe</t>
        </is>
      </c>
      <c r="B17" s="6">
        <f>1.52</f>
        <v/>
      </c>
      <c r="I17" t="inlineStr">
        <is>
          <t>Order Block</t>
        </is>
      </c>
      <c r="J17" t="n">
        <v>15.2</v>
      </c>
      <c r="K17" t="n">
        <v>18.5</v>
      </c>
    </row>
    <row r="18">
      <c r="A18" s="20" t="inlineStr">
        <is>
          <t>Portfolio Max DD %</t>
        </is>
      </c>
      <c r="B18" s="6">
        <f>14.2</f>
        <v/>
      </c>
      <c r="I18" t="inlineStr">
        <is>
          <t>Momentum</t>
        </is>
      </c>
      <c r="J18" t="n">
        <v>18.4</v>
      </c>
      <c r="K18" t="n">
        <v>25.1</v>
      </c>
    </row>
    <row r="19">
      <c r="A19" s="20" t="inlineStr">
        <is>
          <t>Diversification Ratio</t>
        </is>
      </c>
      <c r="B19" s="6">
        <f>1.18</f>
        <v/>
      </c>
      <c r="I19" t="inlineStr">
        <is>
          <t>Portfolio</t>
        </is>
      </c>
      <c r="J19" t="n">
        <v>13.8</v>
      </c>
      <c r="K19" t="n">
        <v>22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2026-05-18T11:11:03Z</dcterms:created>
  <dcterms:modified xmlns:dcterms="http://purl.org/dc/terms/" xmlns:xsi="http://www.w3.org/2001/XMLSchema-instance" xsi:type="dcterms:W3CDTF">2026-05-18T11:11:26Z</dcterms:modified>
</cp:coreProperties>
</file>